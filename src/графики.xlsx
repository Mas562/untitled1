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45ca4f048d31a4/Рабочий стол/"/>
    </mc:Choice>
  </mc:AlternateContent>
  <xr:revisionPtr revIDLastSave="0" documentId="8_{CECDA55E-8E82-42A8-9E8C-7F714DE7FB3E}" xr6:coauthVersionLast="47" xr6:coauthVersionMax="47" xr10:uidLastSave="{00000000-0000-0000-0000-000000000000}"/>
  <bookViews>
    <workbookView xWindow="-108" yWindow="-108" windowWidth="23256" windowHeight="12456" xr2:uid="{BBDE7BA0-248B-4517-AA20-ECB73572FADF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9" i="1" l="1"/>
  <c r="I60" i="1"/>
  <c r="I61" i="1"/>
  <c r="I62" i="1"/>
  <c r="I63" i="1"/>
  <c r="I64" i="1"/>
  <c r="I65" i="1"/>
  <c r="I66" i="1"/>
  <c r="I58" i="1"/>
  <c r="H58" i="1"/>
  <c r="H59" i="1"/>
  <c r="H60" i="1"/>
  <c r="H61" i="1"/>
  <c r="H62" i="1"/>
  <c r="H63" i="1"/>
  <c r="H64" i="1"/>
  <c r="H65" i="1"/>
  <c r="H66" i="1"/>
  <c r="H57" i="1"/>
  <c r="G57" i="1"/>
  <c r="G58" i="1"/>
  <c r="G59" i="1"/>
  <c r="G60" i="1"/>
  <c r="G61" i="1"/>
  <c r="G62" i="1"/>
  <c r="G63" i="1"/>
  <c r="G64" i="1"/>
  <c r="G65" i="1"/>
  <c r="G66" i="1"/>
  <c r="G56" i="1"/>
  <c r="I24" i="1"/>
  <c r="I5" i="1"/>
  <c r="I6" i="1"/>
  <c r="H44" i="1"/>
  <c r="H45" i="1"/>
  <c r="H46" i="1"/>
  <c r="H47" i="1"/>
  <c r="H48" i="1"/>
  <c r="H49" i="1"/>
  <c r="H50" i="1"/>
  <c r="H51" i="1"/>
  <c r="H52" i="1"/>
  <c r="H43" i="1"/>
  <c r="G43" i="1"/>
  <c r="G44" i="1"/>
  <c r="G45" i="1"/>
  <c r="G46" i="1"/>
  <c r="G47" i="1"/>
  <c r="G48" i="1"/>
  <c r="G49" i="1"/>
  <c r="G50" i="1"/>
  <c r="G51" i="1"/>
  <c r="G52" i="1"/>
  <c r="G42" i="1"/>
  <c r="H32" i="1"/>
  <c r="H31" i="1"/>
  <c r="H30" i="1"/>
  <c r="H29" i="1"/>
  <c r="H28" i="1"/>
  <c r="H27" i="1"/>
  <c r="H26" i="1"/>
  <c r="H25" i="1"/>
  <c r="H24" i="1"/>
  <c r="H23" i="1"/>
  <c r="G23" i="1"/>
  <c r="G24" i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22" i="1"/>
  <c r="H3" i="1"/>
  <c r="H4" i="1"/>
  <c r="H5" i="1"/>
  <c r="H6" i="1"/>
  <c r="H7" i="1"/>
  <c r="H8" i="1"/>
  <c r="H9" i="1"/>
  <c r="H10" i="1"/>
  <c r="H11" i="1"/>
  <c r="H2" i="1"/>
  <c r="G2" i="1"/>
  <c r="G3" i="1"/>
  <c r="I4" i="1" s="1"/>
  <c r="G4" i="1"/>
  <c r="G5" i="1"/>
  <c r="G6" i="1"/>
  <c r="G7" i="1"/>
  <c r="I7" i="1" s="1"/>
  <c r="G8" i="1"/>
  <c r="I8" i="1" s="1"/>
  <c r="G9" i="1"/>
  <c r="I9" i="1" s="1"/>
  <c r="G10" i="1"/>
  <c r="I10" i="1" s="1"/>
  <c r="G11" i="1"/>
  <c r="I11" i="1" s="1"/>
  <c r="G1" i="1"/>
  <c r="I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8.1475494719183653E-2"/>
                  <c:y val="-0.77743691902479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Лист1!$A$2:$A$11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Лист1!$G$2:$G$11</c:f>
              <c:numCache>
                <c:formatCode>General</c:formatCode>
                <c:ptCount val="10"/>
                <c:pt idx="0">
                  <c:v>1383.4</c:v>
                </c:pt>
                <c:pt idx="1">
                  <c:v>61542</c:v>
                </c:pt>
                <c:pt idx="2">
                  <c:v>2017133.6</c:v>
                </c:pt>
                <c:pt idx="3">
                  <c:v>2138608</c:v>
                </c:pt>
                <c:pt idx="4">
                  <c:v>6482533.4000000004</c:v>
                </c:pt>
                <c:pt idx="5">
                  <c:v>8087108.2000000002</c:v>
                </c:pt>
                <c:pt idx="6">
                  <c:v>21696300</c:v>
                </c:pt>
                <c:pt idx="7">
                  <c:v>80564116.799999997</c:v>
                </c:pt>
                <c:pt idx="8">
                  <c:v>309032916.60000002</c:v>
                </c:pt>
                <c:pt idx="9">
                  <c:v>1237545166.4000001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9C-4B4F-89B6-DCCEAB3CC23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Лист1!$A$2:$A$11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Лист1!$H$2:$H$11</c:f>
              <c:numCache>
                <c:formatCode>General</c:formatCode>
                <c:ptCount val="10"/>
                <c:pt idx="0">
                  <c:v>100</c:v>
                </c:pt>
                <c:pt idx="1">
                  <c:v>10000</c:v>
                </c:pt>
                <c:pt idx="2">
                  <c:v>1000000</c:v>
                </c:pt>
                <c:pt idx="3">
                  <c:v>4000000</c:v>
                </c:pt>
                <c:pt idx="4">
                  <c:v>16000000</c:v>
                </c:pt>
                <c:pt idx="5">
                  <c:v>64000000</c:v>
                </c:pt>
                <c:pt idx="6">
                  <c:v>256000000</c:v>
                </c:pt>
                <c:pt idx="7">
                  <c:v>1024000000</c:v>
                </c:pt>
                <c:pt idx="8">
                  <c:v>4096000000</c:v>
                </c:pt>
                <c:pt idx="9">
                  <c:v>16384000000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9C-4B4F-89B6-DCCEAB3CC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977168"/>
        <c:axId val="2073970928"/>
      </c:scatterChart>
      <c:valAx>
        <c:axId val="207397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3970928"/>
        <c:crosses val="autoZero"/>
        <c:crossBetween val="midCat"/>
      </c:valAx>
      <c:valAx>
        <c:axId val="207397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397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8.4479226114165543E-2"/>
                  <c:y val="-0.800360206280385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Лист1!$A$23:$A$32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Лист1!$G$23:$G$32</c:f>
              <c:numCache>
                <c:formatCode>General</c:formatCode>
                <c:ptCount val="10"/>
                <c:pt idx="0">
                  <c:v>825</c:v>
                </c:pt>
                <c:pt idx="1">
                  <c:v>2099.8000000000002</c:v>
                </c:pt>
                <c:pt idx="2">
                  <c:v>18608.400000000001</c:v>
                </c:pt>
                <c:pt idx="3">
                  <c:v>38516.800000000003</c:v>
                </c:pt>
                <c:pt idx="4">
                  <c:v>71666.8</c:v>
                </c:pt>
                <c:pt idx="5">
                  <c:v>177050</c:v>
                </c:pt>
                <c:pt idx="6">
                  <c:v>272508.40000000002</c:v>
                </c:pt>
                <c:pt idx="7">
                  <c:v>552958.6</c:v>
                </c:pt>
                <c:pt idx="8">
                  <c:v>224258.4</c:v>
                </c:pt>
                <c:pt idx="9">
                  <c:v>332099.59999999998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20-4E6C-934F-AA7FFE85D47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Лист1!$A$23:$A$32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Лист1!$H$23:$H$32</c:f>
              <c:numCache>
                <c:formatCode>General</c:formatCode>
                <c:ptCount val="10"/>
                <c:pt idx="0">
                  <c:v>100</c:v>
                </c:pt>
                <c:pt idx="1">
                  <c:v>10000</c:v>
                </c:pt>
                <c:pt idx="2">
                  <c:v>1000000</c:v>
                </c:pt>
                <c:pt idx="3">
                  <c:v>4000000</c:v>
                </c:pt>
                <c:pt idx="4">
                  <c:v>16000000</c:v>
                </c:pt>
                <c:pt idx="5">
                  <c:v>64000000</c:v>
                </c:pt>
                <c:pt idx="6">
                  <c:v>256000000</c:v>
                </c:pt>
                <c:pt idx="7">
                  <c:v>1024000000</c:v>
                </c:pt>
                <c:pt idx="8">
                  <c:v>4096000000</c:v>
                </c:pt>
                <c:pt idx="9">
                  <c:v>16384000000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20-4E6C-934F-AA7FFE85D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881552"/>
        <c:axId val="1639687632"/>
      </c:scatterChart>
      <c:valAx>
        <c:axId val="111388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9687632"/>
        <c:crosses val="autoZero"/>
        <c:crossBetween val="midCat"/>
      </c:valAx>
      <c:valAx>
        <c:axId val="163968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388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5210958005249345"/>
                  <c:y val="-0.755328448527267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Лист1!$A$43:$A$52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Лист1!$G$43:$G$52</c:f>
              <c:numCache>
                <c:formatCode>General</c:formatCode>
                <c:ptCount val="10"/>
                <c:pt idx="0">
                  <c:v>1583.2</c:v>
                </c:pt>
                <c:pt idx="1">
                  <c:v>49316.4</c:v>
                </c:pt>
                <c:pt idx="2">
                  <c:v>1980508.4</c:v>
                </c:pt>
                <c:pt idx="3">
                  <c:v>1787066.6</c:v>
                </c:pt>
                <c:pt idx="4">
                  <c:v>6061408.5999999996</c:v>
                </c:pt>
                <c:pt idx="5">
                  <c:v>15152508.800000001</c:v>
                </c:pt>
                <c:pt idx="6">
                  <c:v>23002650</c:v>
                </c:pt>
                <c:pt idx="7">
                  <c:v>79074474.799999997</c:v>
                </c:pt>
                <c:pt idx="8">
                  <c:v>307821975</c:v>
                </c:pt>
                <c:pt idx="9">
                  <c:v>1241272591.5999999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FF-4D9F-A035-AEDA37F7CE2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Лист1!$A$43:$A$52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Лист1!$H$43:$H$52</c:f>
              <c:numCache>
                <c:formatCode>General</c:formatCode>
                <c:ptCount val="10"/>
                <c:pt idx="0">
                  <c:v>100</c:v>
                </c:pt>
                <c:pt idx="1">
                  <c:v>10000</c:v>
                </c:pt>
                <c:pt idx="2">
                  <c:v>1000000</c:v>
                </c:pt>
                <c:pt idx="3">
                  <c:v>4000000</c:v>
                </c:pt>
                <c:pt idx="4">
                  <c:v>16000000</c:v>
                </c:pt>
                <c:pt idx="5">
                  <c:v>64000000</c:v>
                </c:pt>
                <c:pt idx="6">
                  <c:v>256000000</c:v>
                </c:pt>
                <c:pt idx="7">
                  <c:v>1024000000</c:v>
                </c:pt>
                <c:pt idx="8">
                  <c:v>4096000000</c:v>
                </c:pt>
                <c:pt idx="9">
                  <c:v>16384000000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FF-4D9F-A035-AEDA37F7C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420512"/>
        <c:axId val="1642419072"/>
      </c:scatterChart>
      <c:valAx>
        <c:axId val="16424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2419072"/>
        <c:crosses val="autoZero"/>
        <c:crossBetween val="midCat"/>
      </c:valAx>
      <c:valAx>
        <c:axId val="164241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242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5156802274715661"/>
                  <c:y val="-0.786558763487897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Лист1!$A$57:$A$66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Лист1!$G$57:$G$66</c:f>
              <c:numCache>
                <c:formatCode>General</c:formatCode>
                <c:ptCount val="10"/>
                <c:pt idx="0">
                  <c:v>1291.8</c:v>
                </c:pt>
                <c:pt idx="1">
                  <c:v>26442</c:v>
                </c:pt>
                <c:pt idx="2">
                  <c:v>1374274.8</c:v>
                </c:pt>
                <c:pt idx="3">
                  <c:v>1503066.8</c:v>
                </c:pt>
                <c:pt idx="4">
                  <c:v>4075316.8</c:v>
                </c:pt>
                <c:pt idx="5">
                  <c:v>6932208.2000000002</c:v>
                </c:pt>
                <c:pt idx="6">
                  <c:v>15379292</c:v>
                </c:pt>
                <c:pt idx="7">
                  <c:v>41377741.399999999</c:v>
                </c:pt>
                <c:pt idx="8">
                  <c:v>152473283.19999999</c:v>
                </c:pt>
                <c:pt idx="9">
                  <c:v>608426575.20000005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90-4C54-8171-7E2099234F6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Лист1!$A$57:$A$66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Лист1!$H$57:$H$66</c:f>
              <c:numCache>
                <c:formatCode>General</c:formatCode>
                <c:ptCount val="10"/>
                <c:pt idx="0">
                  <c:v>100</c:v>
                </c:pt>
                <c:pt idx="1">
                  <c:v>10000</c:v>
                </c:pt>
                <c:pt idx="2">
                  <c:v>1000000</c:v>
                </c:pt>
                <c:pt idx="3">
                  <c:v>4000000</c:v>
                </c:pt>
                <c:pt idx="4">
                  <c:v>16000000</c:v>
                </c:pt>
                <c:pt idx="5">
                  <c:v>64000000</c:v>
                </c:pt>
                <c:pt idx="6">
                  <c:v>256000000</c:v>
                </c:pt>
                <c:pt idx="7">
                  <c:v>1024000000</c:v>
                </c:pt>
                <c:pt idx="8">
                  <c:v>4096000000</c:v>
                </c:pt>
                <c:pt idx="9">
                  <c:v>16384000000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90-4C54-8171-7E2099234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3120"/>
        <c:axId val="12084080"/>
      </c:scatterChart>
      <c:valAx>
        <c:axId val="1208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84080"/>
        <c:crosses val="autoZero"/>
        <c:crossBetween val="midCat"/>
      </c:valAx>
      <c:valAx>
        <c:axId val="1208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8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452048</xdr:colOff>
      <xdr:row>0</xdr:row>
      <xdr:rowOff>92363</xdr:rowOff>
    </xdr:from>
    <xdr:to>
      <xdr:col>20</xdr:col>
      <xdr:colOff>419274</xdr:colOff>
      <xdr:row>19</xdr:row>
      <xdr:rowOff>165286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AED014A-494B-F7A8-0CCB-5F0C16888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226886</xdr:colOff>
      <xdr:row>20</xdr:row>
      <xdr:rowOff>11129</xdr:rowOff>
    </xdr:from>
    <xdr:to>
      <xdr:col>19</xdr:col>
      <xdr:colOff>128427</xdr:colOff>
      <xdr:row>38</xdr:row>
      <xdr:rowOff>25684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88B4958-3B26-B333-2CCB-393D3C8BC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338665</xdr:colOff>
      <xdr:row>39</xdr:row>
      <xdr:rowOff>156633</xdr:rowOff>
    </xdr:from>
    <xdr:to>
      <xdr:col>18</xdr:col>
      <xdr:colOff>499532</xdr:colOff>
      <xdr:row>55</xdr:row>
      <xdr:rowOff>25400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CAF732F-77B0-CD4C-87C6-C3CCB6E2A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83705</xdr:colOff>
      <xdr:row>55</xdr:row>
      <xdr:rowOff>146627</xdr:rowOff>
    </xdr:from>
    <xdr:to>
      <xdr:col>18</xdr:col>
      <xdr:colOff>282000</xdr:colOff>
      <xdr:row>71</xdr:row>
      <xdr:rowOff>90000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D3047E4-5E0D-A5E4-33F5-3CFBCD88F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5FFF-5F6C-4A78-A6DD-1E1618C509B7}">
  <dimension ref="A1:I66"/>
  <sheetViews>
    <sheetView tabSelected="1" topLeftCell="D53" zoomScale="127" workbookViewId="0">
      <selection activeCell="H71" sqref="H71"/>
    </sheetView>
  </sheetViews>
  <sheetFormatPr defaultRowHeight="14.4" x14ac:dyDescent="0.3"/>
  <sheetData>
    <row r="1" spans="1:9" x14ac:dyDescent="0.3">
      <c r="A1" s="1">
        <v>10</v>
      </c>
      <c r="B1" s="1">
        <v>246459</v>
      </c>
      <c r="C1" s="1">
        <v>464417</v>
      </c>
      <c r="D1" s="1">
        <v>409750</v>
      </c>
      <c r="E1" s="1">
        <v>605458</v>
      </c>
      <c r="F1" s="1">
        <v>539291</v>
      </c>
      <c r="G1" s="1">
        <f>AVERAGE(B1:F1)</f>
        <v>453075</v>
      </c>
      <c r="H1" s="1"/>
    </row>
    <row r="2" spans="1:9" x14ac:dyDescent="0.3">
      <c r="A2" s="1">
        <v>10</v>
      </c>
      <c r="B2" s="1">
        <v>2042</v>
      </c>
      <c r="C2" s="1">
        <v>1167</v>
      </c>
      <c r="D2" s="1">
        <v>1250</v>
      </c>
      <c r="E2" s="1">
        <v>1125</v>
      </c>
      <c r="F2" s="1">
        <v>1333</v>
      </c>
      <c r="G2" s="1">
        <f t="shared" ref="G2:G11" si="0">AVERAGE(B2:F2)</f>
        <v>1383.4</v>
      </c>
      <c r="H2" s="1">
        <f>A2^2</f>
        <v>100</v>
      </c>
    </row>
    <row r="3" spans="1:9" x14ac:dyDescent="0.3">
      <c r="A3" s="1">
        <v>100</v>
      </c>
      <c r="B3" s="1">
        <v>39500</v>
      </c>
      <c r="C3" s="1">
        <v>102750</v>
      </c>
      <c r="D3" s="1">
        <v>39959</v>
      </c>
      <c r="E3" s="1">
        <v>38834</v>
      </c>
      <c r="F3" s="1">
        <v>86667</v>
      </c>
      <c r="G3" s="1">
        <f t="shared" si="0"/>
        <v>61542</v>
      </c>
      <c r="H3" s="1">
        <f t="shared" ref="H3:H11" si="1">A3^2</f>
        <v>10000</v>
      </c>
      <c r="I3">
        <f>G3/G2</f>
        <v>44.486048865114931</v>
      </c>
    </row>
    <row r="4" spans="1:9" x14ac:dyDescent="0.3">
      <c r="A4" s="1">
        <v>1000</v>
      </c>
      <c r="B4" s="1">
        <v>1898917</v>
      </c>
      <c r="C4" s="1">
        <v>2044667</v>
      </c>
      <c r="D4" s="1">
        <v>1592334</v>
      </c>
      <c r="E4" s="1">
        <v>2107083</v>
      </c>
      <c r="F4" s="1">
        <v>2442667</v>
      </c>
      <c r="G4" s="1">
        <f t="shared" si="0"/>
        <v>2017133.6</v>
      </c>
      <c r="H4" s="1">
        <f t="shared" si="1"/>
        <v>1000000</v>
      </c>
      <c r="I4">
        <f t="shared" ref="I4:I11" si="2">G4/G3</f>
        <v>32.776536349159926</v>
      </c>
    </row>
    <row r="5" spans="1:9" x14ac:dyDescent="0.3">
      <c r="A5" s="1">
        <v>2000</v>
      </c>
      <c r="B5" s="1">
        <v>2528583</v>
      </c>
      <c r="C5" s="1">
        <v>2108750</v>
      </c>
      <c r="D5" s="1">
        <v>1324541</v>
      </c>
      <c r="E5" s="1">
        <v>1334666</v>
      </c>
      <c r="F5" s="1">
        <v>3396500</v>
      </c>
      <c r="G5" s="1">
        <f t="shared" si="0"/>
        <v>2138608</v>
      </c>
      <c r="H5" s="1">
        <f t="shared" si="1"/>
        <v>4000000</v>
      </c>
      <c r="I5">
        <f t="shared" si="2"/>
        <v>1.0602212961997162</v>
      </c>
    </row>
    <row r="6" spans="1:9" x14ac:dyDescent="0.3">
      <c r="A6" s="1">
        <v>4000</v>
      </c>
      <c r="B6" s="1">
        <v>4647625</v>
      </c>
      <c r="C6" s="1">
        <v>6617834</v>
      </c>
      <c r="D6" s="1">
        <v>5978667</v>
      </c>
      <c r="E6" s="1">
        <v>10112083</v>
      </c>
      <c r="F6" s="1">
        <v>5056458</v>
      </c>
      <c r="G6" s="1">
        <f t="shared" si="0"/>
        <v>6482533.4000000004</v>
      </c>
      <c r="H6" s="1">
        <f t="shared" si="1"/>
        <v>16000000</v>
      </c>
      <c r="I6">
        <f t="shared" si="2"/>
        <v>3.0311929067879668</v>
      </c>
    </row>
    <row r="7" spans="1:9" x14ac:dyDescent="0.3">
      <c r="A7" s="1">
        <v>8000</v>
      </c>
      <c r="B7" s="1">
        <v>5535166</v>
      </c>
      <c r="C7" s="1">
        <v>4979916</v>
      </c>
      <c r="D7" s="1">
        <v>5977417</v>
      </c>
      <c r="E7" s="1">
        <v>5093917</v>
      </c>
      <c r="F7" s="1">
        <v>18849125</v>
      </c>
      <c r="G7" s="1">
        <f t="shared" si="0"/>
        <v>8087108.2000000002</v>
      </c>
      <c r="H7" s="1">
        <f t="shared" si="1"/>
        <v>64000000</v>
      </c>
      <c r="I7">
        <f t="shared" si="2"/>
        <v>1.2475227971829654</v>
      </c>
    </row>
    <row r="8" spans="1:9" x14ac:dyDescent="0.3">
      <c r="A8" s="1">
        <v>16000</v>
      </c>
      <c r="B8" s="1">
        <v>20383917</v>
      </c>
      <c r="C8" s="1">
        <v>20852000</v>
      </c>
      <c r="D8" s="1">
        <v>19994291</v>
      </c>
      <c r="E8" s="1">
        <v>24848667</v>
      </c>
      <c r="F8" s="1">
        <v>22402625</v>
      </c>
      <c r="G8" s="1">
        <f t="shared" si="0"/>
        <v>21696300</v>
      </c>
      <c r="H8" s="1">
        <f t="shared" si="1"/>
        <v>256000000</v>
      </c>
      <c r="I8">
        <f t="shared" si="2"/>
        <v>2.6828254876075479</v>
      </c>
    </row>
    <row r="9" spans="1:9" x14ac:dyDescent="0.3">
      <c r="A9" s="1">
        <v>32000</v>
      </c>
      <c r="B9" s="1">
        <v>87198542</v>
      </c>
      <c r="C9" s="1">
        <v>77073000</v>
      </c>
      <c r="D9" s="1">
        <v>79565500</v>
      </c>
      <c r="E9" s="1">
        <v>81002542</v>
      </c>
      <c r="F9" s="1">
        <v>77981000</v>
      </c>
      <c r="G9" s="1">
        <f t="shared" si="0"/>
        <v>80564116.799999997</v>
      </c>
      <c r="H9" s="1">
        <f t="shared" si="1"/>
        <v>1024000000</v>
      </c>
      <c r="I9">
        <f t="shared" si="2"/>
        <v>3.7132652479915929</v>
      </c>
    </row>
    <row r="10" spans="1:9" x14ac:dyDescent="0.3">
      <c r="A10" s="1">
        <v>64000</v>
      </c>
      <c r="B10" s="1">
        <v>305541125</v>
      </c>
      <c r="C10" s="1">
        <v>306995166</v>
      </c>
      <c r="D10" s="1">
        <v>307892875</v>
      </c>
      <c r="E10" s="1">
        <v>306157042</v>
      </c>
      <c r="F10" s="1">
        <v>318578375</v>
      </c>
      <c r="G10" s="1">
        <f t="shared" si="0"/>
        <v>309032916.60000002</v>
      </c>
      <c r="H10" s="1">
        <f t="shared" si="1"/>
        <v>4096000000</v>
      </c>
      <c r="I10">
        <f t="shared" si="2"/>
        <v>3.8358630228290425</v>
      </c>
    </row>
    <row r="11" spans="1:9" x14ac:dyDescent="0.3">
      <c r="A11" s="1">
        <v>128000</v>
      </c>
      <c r="B11" s="1">
        <v>1222797166</v>
      </c>
      <c r="C11" s="1">
        <v>1217555625</v>
      </c>
      <c r="D11" s="1">
        <v>1222412792</v>
      </c>
      <c r="E11" s="1">
        <v>1265700166</v>
      </c>
      <c r="F11" s="1">
        <v>1259260083</v>
      </c>
      <c r="G11" s="1">
        <f t="shared" si="0"/>
        <v>1237545166.4000001</v>
      </c>
      <c r="H11" s="1">
        <f t="shared" si="1"/>
        <v>16384000000</v>
      </c>
      <c r="I11">
        <f t="shared" si="2"/>
        <v>4.0045739464117656</v>
      </c>
    </row>
    <row r="22" spans="1:9" x14ac:dyDescent="0.3">
      <c r="A22" s="1">
        <v>10</v>
      </c>
      <c r="B22" s="2">
        <v>212458</v>
      </c>
      <c r="C22">
        <v>398833</v>
      </c>
      <c r="D22">
        <v>267666</v>
      </c>
      <c r="E22">
        <v>176792</v>
      </c>
      <c r="F22">
        <v>291500</v>
      </c>
      <c r="G22" s="1">
        <f>AVERAGE(B22:F22)</f>
        <v>269449.8</v>
      </c>
    </row>
    <row r="23" spans="1:9" x14ac:dyDescent="0.3">
      <c r="A23" s="1">
        <v>10</v>
      </c>
      <c r="B23">
        <v>584</v>
      </c>
      <c r="C23">
        <v>541</v>
      </c>
      <c r="D23">
        <v>1292</v>
      </c>
      <c r="E23">
        <v>1167</v>
      </c>
      <c r="F23">
        <v>541</v>
      </c>
      <c r="G23" s="1">
        <f t="shared" ref="G23:G32" si="3">AVERAGE(B23:F23)</f>
        <v>825</v>
      </c>
      <c r="H23" s="1">
        <f>A23^2</f>
        <v>100</v>
      </c>
    </row>
    <row r="24" spans="1:9" x14ac:dyDescent="0.3">
      <c r="A24" s="1">
        <v>100</v>
      </c>
      <c r="B24">
        <v>1667</v>
      </c>
      <c r="C24">
        <v>3583</v>
      </c>
      <c r="D24">
        <v>1833</v>
      </c>
      <c r="E24">
        <v>1750</v>
      </c>
      <c r="F24">
        <v>1666</v>
      </c>
      <c r="G24" s="1">
        <f t="shared" si="3"/>
        <v>2099.8000000000002</v>
      </c>
      <c r="H24" s="1">
        <f t="shared" ref="H24:H32" si="4">A24^2</f>
        <v>10000</v>
      </c>
      <c r="I24">
        <f>G24/G23</f>
        <v>2.5452121212121215</v>
      </c>
    </row>
    <row r="25" spans="1:9" x14ac:dyDescent="0.3">
      <c r="A25" s="1">
        <v>1000</v>
      </c>
      <c r="B25">
        <v>10500</v>
      </c>
      <c r="C25">
        <v>50125</v>
      </c>
      <c r="D25">
        <v>11167</v>
      </c>
      <c r="E25">
        <v>10541</v>
      </c>
      <c r="F25">
        <v>10709</v>
      </c>
      <c r="G25" s="1">
        <f t="shared" si="3"/>
        <v>18608.400000000001</v>
      </c>
      <c r="H25" s="1">
        <f t="shared" si="4"/>
        <v>1000000</v>
      </c>
      <c r="I25">
        <f t="shared" ref="I25:I32" si="5">G25/G24</f>
        <v>8.861986855891038</v>
      </c>
    </row>
    <row r="26" spans="1:9" x14ac:dyDescent="0.3">
      <c r="A26" s="1">
        <v>2000</v>
      </c>
      <c r="B26">
        <v>55292</v>
      </c>
      <c r="C26">
        <v>22083</v>
      </c>
      <c r="D26">
        <v>20167</v>
      </c>
      <c r="E26">
        <v>21667</v>
      </c>
      <c r="F26">
        <v>73375</v>
      </c>
      <c r="G26" s="1">
        <f t="shared" si="3"/>
        <v>38516.800000000003</v>
      </c>
      <c r="H26" s="1">
        <f t="shared" si="4"/>
        <v>4000000</v>
      </c>
      <c r="I26">
        <f t="shared" si="5"/>
        <v>2.0698609230240108</v>
      </c>
    </row>
    <row r="27" spans="1:9" x14ac:dyDescent="0.3">
      <c r="A27" s="1">
        <v>4000</v>
      </c>
      <c r="B27">
        <v>117167</v>
      </c>
      <c r="C27">
        <v>39875</v>
      </c>
      <c r="D27">
        <v>48500</v>
      </c>
      <c r="E27">
        <v>45667</v>
      </c>
      <c r="F27">
        <v>107125</v>
      </c>
      <c r="G27" s="1">
        <f t="shared" si="3"/>
        <v>71666.8</v>
      </c>
      <c r="H27" s="1">
        <f t="shared" si="4"/>
        <v>16000000</v>
      </c>
      <c r="I27">
        <f t="shared" si="5"/>
        <v>1.860663398828563</v>
      </c>
    </row>
    <row r="28" spans="1:9" x14ac:dyDescent="0.3">
      <c r="A28" s="1">
        <v>8000</v>
      </c>
      <c r="B28">
        <v>87333</v>
      </c>
      <c r="C28">
        <v>209542</v>
      </c>
      <c r="D28">
        <v>232166</v>
      </c>
      <c r="E28">
        <v>79625</v>
      </c>
      <c r="F28">
        <v>276584</v>
      </c>
      <c r="G28" s="1">
        <f t="shared" si="3"/>
        <v>177050</v>
      </c>
      <c r="H28" s="1">
        <f t="shared" si="4"/>
        <v>64000000</v>
      </c>
      <c r="I28">
        <f t="shared" si="5"/>
        <v>2.4704605200734511</v>
      </c>
    </row>
    <row r="29" spans="1:9" x14ac:dyDescent="0.3">
      <c r="A29" s="1">
        <v>16000</v>
      </c>
      <c r="B29">
        <v>160166</v>
      </c>
      <c r="C29">
        <v>425667</v>
      </c>
      <c r="D29">
        <v>154459</v>
      </c>
      <c r="E29">
        <v>313625</v>
      </c>
      <c r="F29">
        <v>308625</v>
      </c>
      <c r="G29" s="1">
        <f t="shared" si="3"/>
        <v>272508.40000000002</v>
      </c>
      <c r="H29" s="1">
        <f t="shared" si="4"/>
        <v>256000000</v>
      </c>
      <c r="I29">
        <f t="shared" si="5"/>
        <v>1.539160689070884</v>
      </c>
    </row>
    <row r="30" spans="1:9" x14ac:dyDescent="0.3">
      <c r="A30" s="1">
        <v>32000</v>
      </c>
      <c r="B30">
        <v>610042</v>
      </c>
      <c r="C30">
        <v>739584</v>
      </c>
      <c r="D30">
        <v>319417</v>
      </c>
      <c r="E30">
        <v>780375</v>
      </c>
      <c r="F30">
        <v>315375</v>
      </c>
      <c r="G30" s="1">
        <f t="shared" si="3"/>
        <v>552958.6</v>
      </c>
      <c r="H30" s="1">
        <f t="shared" si="4"/>
        <v>1024000000</v>
      </c>
      <c r="I30">
        <f t="shared" si="5"/>
        <v>2.0291433218205381</v>
      </c>
    </row>
    <row r="31" spans="1:9" x14ac:dyDescent="0.3">
      <c r="A31" s="1">
        <v>64000</v>
      </c>
      <c r="B31">
        <v>156125</v>
      </c>
      <c r="C31">
        <v>138375</v>
      </c>
      <c r="D31">
        <v>533834</v>
      </c>
      <c r="E31">
        <v>142833</v>
      </c>
      <c r="F31">
        <v>150125</v>
      </c>
      <c r="G31" s="1">
        <f t="shared" si="3"/>
        <v>224258.4</v>
      </c>
      <c r="H31" s="1">
        <f t="shared" si="4"/>
        <v>4096000000</v>
      </c>
      <c r="I31">
        <f t="shared" si="5"/>
        <v>0.40556092264411842</v>
      </c>
    </row>
    <row r="32" spans="1:9" x14ac:dyDescent="0.3">
      <c r="A32" s="1">
        <v>128000</v>
      </c>
      <c r="B32">
        <v>461416</v>
      </c>
      <c r="C32">
        <v>528750</v>
      </c>
      <c r="D32">
        <v>134916</v>
      </c>
      <c r="E32">
        <v>258166</v>
      </c>
      <c r="F32">
        <v>277250</v>
      </c>
      <c r="G32" s="1">
        <f t="shared" si="3"/>
        <v>332099.59999999998</v>
      </c>
      <c r="H32" s="1">
        <f t="shared" si="4"/>
        <v>16384000000</v>
      </c>
      <c r="I32">
        <f t="shared" si="5"/>
        <v>1.4808792000656386</v>
      </c>
    </row>
    <row r="42" spans="1:8" x14ac:dyDescent="0.3">
      <c r="A42" s="1">
        <v>10</v>
      </c>
      <c r="B42">
        <v>178667</v>
      </c>
      <c r="C42">
        <v>626292</v>
      </c>
      <c r="D42">
        <v>419042</v>
      </c>
      <c r="E42">
        <v>528791</v>
      </c>
      <c r="F42">
        <v>376292</v>
      </c>
      <c r="G42" s="1">
        <f>AVERAGE(B42:F42)</f>
        <v>425816.8</v>
      </c>
    </row>
    <row r="43" spans="1:8" x14ac:dyDescent="0.3">
      <c r="A43" s="1">
        <v>10</v>
      </c>
      <c r="B43">
        <v>1083</v>
      </c>
      <c r="C43">
        <v>1125</v>
      </c>
      <c r="D43">
        <v>1291</v>
      </c>
      <c r="E43">
        <v>2250</v>
      </c>
      <c r="F43">
        <v>2167</v>
      </c>
      <c r="G43" s="1">
        <f t="shared" ref="G43:G52" si="6">AVERAGE(B43:F43)</f>
        <v>1583.2</v>
      </c>
      <c r="H43" s="1">
        <f>A43^2</f>
        <v>100</v>
      </c>
    </row>
    <row r="44" spans="1:8" x14ac:dyDescent="0.3">
      <c r="A44" s="1">
        <v>100</v>
      </c>
      <c r="B44">
        <v>87958</v>
      </c>
      <c r="C44">
        <v>41416</v>
      </c>
      <c r="D44">
        <v>38833</v>
      </c>
      <c r="E44">
        <v>40083</v>
      </c>
      <c r="F44">
        <v>38292</v>
      </c>
      <c r="G44" s="1">
        <f t="shared" si="6"/>
        <v>49316.4</v>
      </c>
      <c r="H44" s="1">
        <f t="shared" ref="H44:H52" si="7">A44^2</f>
        <v>10000</v>
      </c>
    </row>
    <row r="45" spans="1:8" x14ac:dyDescent="0.3">
      <c r="A45" s="1">
        <v>1000</v>
      </c>
      <c r="B45">
        <v>2632708</v>
      </c>
      <c r="C45">
        <v>2270917</v>
      </c>
      <c r="D45">
        <v>1942917</v>
      </c>
      <c r="E45">
        <v>1680458</v>
      </c>
      <c r="F45">
        <v>1375542</v>
      </c>
      <c r="G45" s="1">
        <f t="shared" si="6"/>
        <v>1980508.4</v>
      </c>
      <c r="H45" s="1">
        <f t="shared" si="7"/>
        <v>1000000</v>
      </c>
    </row>
    <row r="46" spans="1:8" x14ac:dyDescent="0.3">
      <c r="A46" s="1">
        <v>2000</v>
      </c>
      <c r="B46">
        <v>1096750</v>
      </c>
      <c r="C46">
        <v>1568500</v>
      </c>
      <c r="D46">
        <v>1122125</v>
      </c>
      <c r="E46">
        <v>3705167</v>
      </c>
      <c r="F46">
        <v>1442791</v>
      </c>
      <c r="G46" s="1">
        <f t="shared" si="6"/>
        <v>1787066.6</v>
      </c>
      <c r="H46" s="1">
        <f t="shared" si="7"/>
        <v>4000000</v>
      </c>
    </row>
    <row r="47" spans="1:8" x14ac:dyDescent="0.3">
      <c r="A47" s="1">
        <v>4000</v>
      </c>
      <c r="B47">
        <v>8967334</v>
      </c>
      <c r="C47">
        <v>5617458</v>
      </c>
      <c r="D47">
        <v>5692834</v>
      </c>
      <c r="E47">
        <v>4781708</v>
      </c>
      <c r="F47">
        <v>5247709</v>
      </c>
      <c r="G47" s="1">
        <f t="shared" si="6"/>
        <v>6061408.5999999996</v>
      </c>
      <c r="H47" s="1">
        <f t="shared" si="7"/>
        <v>16000000</v>
      </c>
    </row>
    <row r="48" spans="1:8" x14ac:dyDescent="0.3">
      <c r="A48" s="1">
        <v>8000</v>
      </c>
      <c r="B48">
        <v>20162417</v>
      </c>
      <c r="C48">
        <v>5458417</v>
      </c>
      <c r="D48">
        <v>5334334</v>
      </c>
      <c r="E48">
        <v>24595542</v>
      </c>
      <c r="F48">
        <v>20211834</v>
      </c>
      <c r="G48" s="1">
        <f t="shared" si="6"/>
        <v>15152508.800000001</v>
      </c>
      <c r="H48" s="1">
        <f t="shared" si="7"/>
        <v>64000000</v>
      </c>
    </row>
    <row r="49" spans="1:9" x14ac:dyDescent="0.3">
      <c r="A49" s="1">
        <v>16000</v>
      </c>
      <c r="B49">
        <v>22870458</v>
      </c>
      <c r="C49">
        <v>22458583</v>
      </c>
      <c r="D49">
        <v>19676459</v>
      </c>
      <c r="E49">
        <v>27732959</v>
      </c>
      <c r="F49">
        <v>22274791</v>
      </c>
      <c r="G49" s="1">
        <f t="shared" si="6"/>
        <v>23002650</v>
      </c>
      <c r="H49" s="1">
        <f t="shared" si="7"/>
        <v>256000000</v>
      </c>
    </row>
    <row r="50" spans="1:9" x14ac:dyDescent="0.3">
      <c r="A50" s="1">
        <v>32000</v>
      </c>
      <c r="B50">
        <v>79248500</v>
      </c>
      <c r="C50">
        <v>78044041</v>
      </c>
      <c r="D50">
        <v>79542167</v>
      </c>
      <c r="E50">
        <v>76677916</v>
      </c>
      <c r="F50">
        <v>81859750</v>
      </c>
      <c r="G50" s="1">
        <f t="shared" si="6"/>
        <v>79074474.799999997</v>
      </c>
      <c r="H50" s="1">
        <f t="shared" si="7"/>
        <v>1024000000</v>
      </c>
    </row>
    <row r="51" spans="1:9" x14ac:dyDescent="0.3">
      <c r="A51" s="1">
        <v>64000</v>
      </c>
      <c r="B51">
        <v>313354416</v>
      </c>
      <c r="C51">
        <v>305469250</v>
      </c>
      <c r="D51">
        <v>307692417</v>
      </c>
      <c r="E51">
        <v>307005417</v>
      </c>
      <c r="F51">
        <v>305588375</v>
      </c>
      <c r="G51" s="1">
        <f t="shared" si="6"/>
        <v>307821975</v>
      </c>
      <c r="H51" s="1">
        <f t="shared" si="7"/>
        <v>4096000000</v>
      </c>
    </row>
    <row r="52" spans="1:9" x14ac:dyDescent="0.3">
      <c r="A52" s="1">
        <v>128000</v>
      </c>
      <c r="B52">
        <v>1223429000</v>
      </c>
      <c r="C52">
        <v>1273142958</v>
      </c>
      <c r="D52">
        <v>1230843375</v>
      </c>
      <c r="E52">
        <v>1256173625</v>
      </c>
      <c r="F52">
        <v>1222774000</v>
      </c>
      <c r="G52" s="1">
        <f t="shared" si="6"/>
        <v>1241272591.5999999</v>
      </c>
      <c r="H52" s="1">
        <f t="shared" si="7"/>
        <v>16384000000</v>
      </c>
    </row>
    <row r="56" spans="1:9" x14ac:dyDescent="0.3">
      <c r="A56" s="1">
        <v>10</v>
      </c>
      <c r="B56">
        <v>218625</v>
      </c>
      <c r="C56">
        <v>635750</v>
      </c>
      <c r="D56">
        <v>282542</v>
      </c>
      <c r="E56">
        <v>255416</v>
      </c>
      <c r="F56">
        <v>306500</v>
      </c>
      <c r="G56" s="1">
        <f>AVERAGE(B56:F56)</f>
        <v>339766.6</v>
      </c>
    </row>
    <row r="57" spans="1:9" x14ac:dyDescent="0.3">
      <c r="A57" s="1">
        <v>10</v>
      </c>
      <c r="B57">
        <v>1833</v>
      </c>
      <c r="C57">
        <v>1000</v>
      </c>
      <c r="D57">
        <v>1000</v>
      </c>
      <c r="E57">
        <v>917</v>
      </c>
      <c r="F57">
        <v>1709</v>
      </c>
      <c r="G57" s="1">
        <f t="shared" ref="G57:G66" si="8">AVERAGE(B57:F57)</f>
        <v>1291.8</v>
      </c>
      <c r="H57" s="1">
        <f>A57^2</f>
        <v>100</v>
      </c>
    </row>
    <row r="58" spans="1:9" x14ac:dyDescent="0.3">
      <c r="A58" s="1">
        <v>100</v>
      </c>
      <c r="B58">
        <v>21417</v>
      </c>
      <c r="C58">
        <v>46417</v>
      </c>
      <c r="D58">
        <v>21083</v>
      </c>
      <c r="E58">
        <v>21584</v>
      </c>
      <c r="F58">
        <v>21709</v>
      </c>
      <c r="G58" s="1">
        <f t="shared" si="8"/>
        <v>26442</v>
      </c>
      <c r="H58" s="1">
        <f t="shared" ref="H58:H66" si="9">A58^2</f>
        <v>10000</v>
      </c>
      <c r="I58">
        <f>G58/G57</f>
        <v>20.469112865768697</v>
      </c>
    </row>
    <row r="59" spans="1:9" x14ac:dyDescent="0.3">
      <c r="A59" s="1">
        <v>1000</v>
      </c>
      <c r="B59">
        <v>1779750</v>
      </c>
      <c r="C59">
        <v>1380958</v>
      </c>
      <c r="D59">
        <v>1324584</v>
      </c>
      <c r="E59">
        <v>1005416</v>
      </c>
      <c r="F59">
        <v>1380666</v>
      </c>
      <c r="G59" s="1">
        <f t="shared" si="8"/>
        <v>1374274.8</v>
      </c>
      <c r="H59" s="1">
        <f t="shared" si="9"/>
        <v>1000000</v>
      </c>
      <c r="I59">
        <f t="shared" ref="I59:I66" si="10">G59/G58</f>
        <v>51.973179033356026</v>
      </c>
    </row>
    <row r="60" spans="1:9" x14ac:dyDescent="0.3">
      <c r="A60" s="1">
        <v>2000</v>
      </c>
      <c r="B60">
        <v>4189584</v>
      </c>
      <c r="C60">
        <v>824541</v>
      </c>
      <c r="D60">
        <v>910625</v>
      </c>
      <c r="E60">
        <v>1019167</v>
      </c>
      <c r="F60">
        <v>571417</v>
      </c>
      <c r="G60" s="1">
        <f t="shared" si="8"/>
        <v>1503066.8</v>
      </c>
      <c r="H60" s="1">
        <f t="shared" si="9"/>
        <v>4000000</v>
      </c>
      <c r="I60">
        <f t="shared" si="10"/>
        <v>1.093716336790866</v>
      </c>
    </row>
    <row r="61" spans="1:9" x14ac:dyDescent="0.3">
      <c r="A61" s="1">
        <v>4000</v>
      </c>
      <c r="B61">
        <v>3665417</v>
      </c>
      <c r="C61">
        <v>5018584</v>
      </c>
      <c r="D61">
        <v>3927250</v>
      </c>
      <c r="E61">
        <v>3131708</v>
      </c>
      <c r="F61">
        <v>4633625</v>
      </c>
      <c r="G61" s="1">
        <f t="shared" si="8"/>
        <v>4075316.8</v>
      </c>
      <c r="H61" s="1">
        <f t="shared" si="9"/>
        <v>16000000</v>
      </c>
      <c r="I61">
        <f t="shared" si="10"/>
        <v>2.7113344529996937</v>
      </c>
    </row>
    <row r="62" spans="1:9" x14ac:dyDescent="0.3">
      <c r="A62" s="1">
        <v>8000</v>
      </c>
      <c r="B62">
        <v>11525833</v>
      </c>
      <c r="C62">
        <v>8885583</v>
      </c>
      <c r="D62">
        <v>2822208</v>
      </c>
      <c r="E62">
        <v>2817042</v>
      </c>
      <c r="F62">
        <v>8610375</v>
      </c>
      <c r="G62" s="1">
        <f t="shared" si="8"/>
        <v>6932208.2000000002</v>
      </c>
      <c r="H62" s="1">
        <f t="shared" si="9"/>
        <v>64000000</v>
      </c>
      <c r="I62">
        <f t="shared" si="10"/>
        <v>1.7010231449982001</v>
      </c>
    </row>
    <row r="63" spans="1:9" x14ac:dyDescent="0.3">
      <c r="A63" s="1">
        <v>16000</v>
      </c>
      <c r="B63">
        <v>35572167</v>
      </c>
      <c r="C63">
        <v>11112417</v>
      </c>
      <c r="D63">
        <v>10800542</v>
      </c>
      <c r="E63">
        <v>9709709</v>
      </c>
      <c r="F63">
        <v>9701625</v>
      </c>
      <c r="G63" s="1">
        <f t="shared" si="8"/>
        <v>15379292</v>
      </c>
      <c r="H63" s="1">
        <f t="shared" si="9"/>
        <v>256000000</v>
      </c>
      <c r="I63">
        <f t="shared" si="10"/>
        <v>2.2185271354083103</v>
      </c>
    </row>
    <row r="64" spans="1:9" x14ac:dyDescent="0.3">
      <c r="A64" s="1">
        <v>32000</v>
      </c>
      <c r="B64">
        <v>41432583</v>
      </c>
      <c r="C64">
        <v>39765791</v>
      </c>
      <c r="D64">
        <v>46754333</v>
      </c>
      <c r="E64">
        <v>38731208</v>
      </c>
      <c r="F64">
        <v>40204792</v>
      </c>
      <c r="G64" s="1">
        <f t="shared" si="8"/>
        <v>41377741.399999999</v>
      </c>
      <c r="H64" s="1">
        <f t="shared" si="9"/>
        <v>1024000000</v>
      </c>
      <c r="I64">
        <f t="shared" si="10"/>
        <v>2.690484152326388</v>
      </c>
    </row>
    <row r="65" spans="1:9" x14ac:dyDescent="0.3">
      <c r="A65" s="1">
        <v>64000</v>
      </c>
      <c r="B65">
        <v>151809708</v>
      </c>
      <c r="C65">
        <v>151220750</v>
      </c>
      <c r="D65">
        <v>152508417</v>
      </c>
      <c r="E65">
        <v>152633750</v>
      </c>
      <c r="F65">
        <v>154193791</v>
      </c>
      <c r="G65" s="1">
        <f t="shared" si="8"/>
        <v>152473283.19999999</v>
      </c>
      <c r="H65" s="1">
        <f t="shared" si="9"/>
        <v>4096000000</v>
      </c>
      <c r="I65">
        <f t="shared" si="10"/>
        <v>3.6849107283559945</v>
      </c>
    </row>
    <row r="66" spans="1:9" x14ac:dyDescent="0.3">
      <c r="A66" s="1">
        <v>128000</v>
      </c>
      <c r="B66">
        <v>604769750</v>
      </c>
      <c r="C66">
        <v>605271459</v>
      </c>
      <c r="D66">
        <v>606282292</v>
      </c>
      <c r="E66">
        <v>618607541</v>
      </c>
      <c r="F66">
        <v>607201834</v>
      </c>
      <c r="G66" s="1">
        <f t="shared" si="8"/>
        <v>608426575.20000005</v>
      </c>
      <c r="H66" s="1">
        <f t="shared" si="9"/>
        <v>16384000000</v>
      </c>
      <c r="I66">
        <f t="shared" si="10"/>
        <v>3.9903815437746153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Багин</dc:creator>
  <cp:lastModifiedBy>Кирилл Багин</cp:lastModifiedBy>
  <dcterms:created xsi:type="dcterms:W3CDTF">2026-09-22T07:39:57Z</dcterms:created>
  <dcterms:modified xsi:type="dcterms:W3CDTF">2026-09-29T08:34:38Z</dcterms:modified>
</cp:coreProperties>
</file>